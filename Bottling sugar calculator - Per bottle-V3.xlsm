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sle\Desktop\EFL Brewing\"/>
    </mc:Choice>
  </mc:AlternateContent>
  <xr:revisionPtr revIDLastSave="0" documentId="13_ncr:1_{D86942A7-159C-4BAB-A5B9-A0ECACA1B26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User interface" sheetId="1" r:id="rId1"/>
    <sheet name="Sugar types" sheetId="2" r:id="rId2"/>
    <sheet name="Formulas priming sugar addi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" i="2" l="1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38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I8" i="1" l="1"/>
  <c r="J8" i="1" s="1"/>
  <c r="F11" i="1" s="1"/>
  <c r="G14" i="1" s="1"/>
  <c r="I11" i="1" l="1"/>
  <c r="H11" i="1" s="1"/>
  <c r="J11" i="1" s="1"/>
</calcChain>
</file>

<file path=xl/sharedStrings.xml><?xml version="1.0" encoding="utf-8"?>
<sst xmlns="http://schemas.openxmlformats.org/spreadsheetml/2006/main" count="104" uniqueCount="76">
  <si>
    <t>British Style Ales</t>
  </si>
  <si>
    <t>1.5 - 2.0 volumes</t>
  </si>
  <si>
    <t>Belgian Ales</t>
  </si>
  <si>
    <t>1.9 - 2.4 volumes</t>
  </si>
  <si>
    <t>American Ales and Lager</t>
  </si>
  <si>
    <t>2.2 - 2.7 volumes</t>
  </si>
  <si>
    <t>Fruit Lambic</t>
  </si>
  <si>
    <t>3.0 - 4.5 volumes</t>
  </si>
  <si>
    <t>Porter, Stout</t>
  </si>
  <si>
    <t>1.7 - 2.3 volumes</t>
  </si>
  <si>
    <t>European Lagers</t>
  </si>
  <si>
    <t>Lambic</t>
  </si>
  <si>
    <t>2.4 - 2.8 volumes</t>
  </si>
  <si>
    <t>German Wheat Beer</t>
  </si>
  <si>
    <t>3.3 - 4.5 volumes</t>
  </si>
  <si>
    <t>Beer Style</t>
  </si>
  <si>
    <t>Recommended CO2 Vol.</t>
  </si>
  <si>
    <t>Required Vols. CO2</t>
  </si>
  <si>
    <t>Vol CO2</t>
  </si>
  <si>
    <t>Sugar (g)</t>
  </si>
  <si>
    <t>Beer temperature (C)</t>
  </si>
  <si>
    <t>Amount of bottles</t>
  </si>
  <si>
    <t>Vol. Water for sollution (ml)</t>
  </si>
  <si>
    <t>Total sugar required (g)</t>
  </si>
  <si>
    <t>grams sugar/ml water</t>
  </si>
  <si>
    <t>Table sugar</t>
  </si>
  <si>
    <t>Sugar type</t>
  </si>
  <si>
    <t>Corn sugar</t>
  </si>
  <si>
    <t>Table Sugar</t>
  </si>
  <si>
    <t>DME - All Varieties</t>
  </si>
  <si>
    <t>Black Treacle</t>
  </si>
  <si>
    <t>Corn Syrup</t>
  </si>
  <si>
    <t>Demarara</t>
  </si>
  <si>
    <t>Honey</t>
  </si>
  <si>
    <t>Maple Syrup</t>
  </si>
  <si>
    <t>Molasses</t>
  </si>
  <si>
    <t>Rice Solids</t>
  </si>
  <si>
    <t>Turbinado</t>
  </si>
  <si>
    <t>1,5 Vol. CO2 req sugar (g)</t>
  </si>
  <si>
    <t>1,6 Vol. CO2 req sugar (g)</t>
  </si>
  <si>
    <t>1,9 Vol. CO2 req sugar (g)</t>
  </si>
  <si>
    <t>2,0 Vol. CO2 req sugar (g)</t>
  </si>
  <si>
    <t>2,1 Vol. CO2 req sugar (g)</t>
  </si>
  <si>
    <t>2,2 Vol. CO2 req sugar (g)</t>
  </si>
  <si>
    <t>2,3 Vol. CO2 req sugar (g)</t>
  </si>
  <si>
    <t>2,4 Vol. CO2 req sugar (g)</t>
  </si>
  <si>
    <t>2.5 Vol. CO2 req sugar (g)</t>
  </si>
  <si>
    <t>Belian Candy Syrup</t>
  </si>
  <si>
    <t>DME - Laalander</t>
  </si>
  <si>
    <t>Sorhum Syrup</t>
  </si>
  <si>
    <t>Averae inrease per 0.1 vol. CO2 in (g)</t>
  </si>
  <si>
    <t>Based on 1L being pakcaged</t>
  </si>
  <si>
    <t>Bottling Sugar Type Used</t>
  </si>
  <si>
    <t>Beer Temp (C)</t>
  </si>
  <si>
    <t>Package volume (L)</t>
  </si>
  <si>
    <t>1,7 Vol. CO2 req sugar ()</t>
  </si>
  <si>
    <t>1,8 Vol. CO2 req sugar ()</t>
  </si>
  <si>
    <t>Belian Candy sugar</t>
  </si>
  <si>
    <t>Brown sugar</t>
  </si>
  <si>
    <t>Invert sugar Syrup</t>
  </si>
  <si>
    <t>Rate compared to 'table sugar'</t>
  </si>
  <si>
    <t>Bottle/Can Volumes</t>
  </si>
  <si>
    <t>Different sugar type amount variations specifications per 1L of packaged beer at 20C</t>
  </si>
  <si>
    <t>Req. 'TABLE SUGAR' per bottle (g)</t>
  </si>
  <si>
    <t>Total volume per bottle</t>
  </si>
  <si>
    <t>Required sugar PER BOTTLE (g)</t>
  </si>
  <si>
    <t>PRIMING SUGAR/WATER SOLUTION' CALCULATOR - PER BOTTLE (Or full batch)</t>
  </si>
  <si>
    <t>https://www.brewersfriend.com/beer-priming-calculator/</t>
  </si>
  <si>
    <t>% priming sol. tot vol. Bottle</t>
  </si>
  <si>
    <t>Includes different priming sugars.</t>
  </si>
  <si>
    <t xml:space="preserve">Please note that the values are based on the priciples publicly available on: </t>
  </si>
  <si>
    <t>However, this tool allows you to quickly show how much sugar-water solution goes into each bottle, which can be easily added via a 10ml syringe which can be bough online relatively cheap. (see the image above as an example).</t>
  </si>
  <si>
    <t>Required (ml) sugar sollution per bottle</t>
  </si>
  <si>
    <t>Sugar/Water Ratio</t>
  </si>
  <si>
    <t>The 'Sugar/Water Ratio' should always be below 1.8.</t>
  </si>
  <si>
    <t>If the ratio is above 1.8, not all sugar can be dissolved in the water.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</si>
</sst>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Arial"/>
      <family val="2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u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3499862666707357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Border="1"/>
    <xf numFmtId="0" fontId="5" fillId="0" borderId="0" xfId="0" applyFont="1" applyBorder="1"/>
    <xf numFmtId="0" fontId="0" fillId="2" borderId="1" xfId="0" applyFill="1" applyBorder="1"/>
    <xf numFmtId="0" fontId="2" fillId="3" borderId="1" xfId="0" applyFont="1" applyFill="1" applyBorder="1"/>
    <xf numFmtId="0" fontId="4" fillId="2" borderId="1" xfId="0" applyFont="1" applyFill="1" applyBorder="1" applyAlignment="1">
      <alignment horizontal="left" vertical="top" wrapText="1" indent="1"/>
    </xf>
    <xf numFmtId="164" fontId="0" fillId="2" borderId="1" xfId="0" applyNumberFormat="1" applyFill="1" applyBorder="1"/>
    <xf numFmtId="2" fontId="0" fillId="4" borderId="1" xfId="0" applyNumberFormat="1" applyFont="1" applyFill="1" applyBorder="1"/>
    <xf numFmtId="0" fontId="3" fillId="0" borderId="1" xfId="0" applyFont="1" applyBorder="1"/>
    <xf numFmtId="0" fontId="0" fillId="0" borderId="1" xfId="0" applyNumberFormat="1" applyBorder="1"/>
    <xf numFmtId="164" fontId="0" fillId="0" borderId="0" xfId="0" applyNumberFormat="1"/>
    <xf numFmtId="0" fontId="2" fillId="3" borderId="2" xfId="0" applyFont="1" applyFill="1" applyBorder="1"/>
    <xf numFmtId="0" fontId="3" fillId="0" borderId="1" xfId="0" applyFont="1" applyFill="1" applyBorder="1"/>
    <xf numFmtId="164" fontId="3" fillId="0" borderId="1" xfId="0" applyNumberFormat="1" applyFont="1" applyBorder="1"/>
    <xf numFmtId="0" fontId="0" fillId="0" borderId="1" xfId="0" applyFill="1" applyBorder="1"/>
    <xf numFmtId="0" fontId="8" fillId="0" borderId="0" xfId="0" applyFont="1"/>
    <xf numFmtId="2" fontId="0" fillId="4" borderId="1" xfId="0" applyNumberFormat="1" applyFill="1" applyBorder="1"/>
    <xf numFmtId="165" fontId="0" fillId="2" borderId="1" xfId="0" applyNumberFormat="1" applyFill="1" applyBorder="1"/>
    <xf numFmtId="0" fontId="9" fillId="0" borderId="0" xfId="0" applyFont="1"/>
    <xf numFmtId="0" fontId="2" fillId="3" borderId="8" xfId="0" applyFont="1" applyFill="1" applyBorder="1"/>
    <xf numFmtId="0" fontId="2" fillId="3" borderId="9" xfId="0" applyFont="1" applyFill="1" applyBorder="1"/>
    <xf numFmtId="0" fontId="4" fillId="2" borderId="8" xfId="0" applyFont="1" applyFill="1" applyBorder="1" applyAlignment="1">
      <alignment horizontal="left" vertical="top" wrapText="1" indent="1"/>
    </xf>
    <xf numFmtId="2" fontId="0" fillId="4" borderId="7" xfId="0" applyNumberFormat="1" applyFill="1" applyBorder="1"/>
    <xf numFmtId="0" fontId="2" fillId="3" borderId="10" xfId="0" applyFont="1" applyFill="1" applyBorder="1"/>
    <xf numFmtId="10" fontId="0" fillId="2" borderId="10" xfId="1" applyNumberFormat="1" applyFont="1" applyFill="1" applyBorder="1"/>
    <xf numFmtId="0" fontId="4" fillId="2" borderId="11" xfId="0" applyFont="1" applyFill="1" applyBorder="1" applyAlignment="1">
      <alignment horizontal="left" vertical="top" wrapText="1" indent="1"/>
    </xf>
    <xf numFmtId="0" fontId="4" fillId="2" borderId="12" xfId="0" applyFont="1" applyFill="1" applyBorder="1" applyAlignment="1">
      <alignment horizontal="left" vertical="top" wrapText="1" indent="1"/>
    </xf>
    <xf numFmtId="0" fontId="0" fillId="5" borderId="0" xfId="0" applyFill="1" applyBorder="1"/>
    <xf numFmtId="0" fontId="0" fillId="5" borderId="13" xfId="0" applyFill="1" applyBorder="1"/>
    <xf numFmtId="0" fontId="3" fillId="5" borderId="0" xfId="0" applyFont="1" applyFill="1" applyBorder="1"/>
    <xf numFmtId="0" fontId="3" fillId="5" borderId="7" xfId="0" applyFont="1" applyFill="1" applyBorder="1"/>
    <xf numFmtId="164" fontId="0" fillId="5" borderId="7" xfId="0" applyNumberFormat="1" applyFill="1" applyBorder="1"/>
    <xf numFmtId="0" fontId="0" fillId="5" borderId="7" xfId="0" applyFill="1" applyBorder="1"/>
    <xf numFmtId="0" fontId="0" fillId="5" borderId="14" xfId="0" applyFill="1" applyBorder="1"/>
    <xf numFmtId="0" fontId="0" fillId="5" borderId="5" xfId="0" applyFill="1" applyBorder="1"/>
    <xf numFmtId="0" fontId="6" fillId="5" borderId="4" xfId="0" applyFont="1" applyFill="1" applyBorder="1"/>
    <xf numFmtId="0" fontId="10" fillId="5" borderId="6" xfId="0" applyFont="1" applyFill="1" applyBorder="1"/>
    <xf numFmtId="0" fontId="6" fillId="5" borderId="0" xfId="0" applyFont="1" applyFill="1" applyBorder="1"/>
    <xf numFmtId="0" fontId="11" fillId="5" borderId="6" xfId="0" applyFont="1" applyFill="1" applyBorder="1"/>
    <xf numFmtId="0" fontId="12" fillId="5" borderId="0" xfId="2" applyFont="1" applyFill="1" applyBorder="1"/>
    <xf numFmtId="0" fontId="6" fillId="5" borderId="6" xfId="0" applyFont="1" applyFill="1" applyBorder="1"/>
    <xf numFmtId="0" fontId="13" fillId="5" borderId="3" xfId="0" quotePrefix="1" applyFont="1" applyFill="1" applyBorder="1"/>
    <xf numFmtId="164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1" fontId="0" fillId="0" borderId="1" xfId="0" applyNumberFormat="1" applyBorder="1" applyProtection="1">
      <protection locked="0"/>
    </xf>
    <xf numFmtId="165" fontId="0" fillId="2" borderId="1" xfId="0" applyNumberFormat="1" applyFill="1" applyBorder="1" applyProtection="1"/>
  </cellXfs>
  <cellStyles count="3">
    <cellStyle name="Hyperlink" xfId="2" builtinId="8"/>
    <cellStyle name="Normal" xfId="0" builtinId="0"/>
    <cellStyle name="Percent" xfId="1" builtinId="5"/>
  </cellStyles>
  <dxfs count="2">
    <dxf>
      <font>
        <b/>
        <i val="0"/>
      </font>
      <fill>
        <patternFill>
          <bgColor rgb="FFFF3737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Sugar (g) 20C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'Formulas priming sugar addition'!$B$3</c:f>
              <c:strCache>
                <c:ptCount val="1"/>
                <c:pt idx="0">
                  <c:v>Sugar (g)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782667945841081"/>
                  <c:y val="5.8914714754640302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lt1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y = 4,0081x - 3,4161</a:t>
                    </a: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'Formulas priming sugar addition'!$A$4:$A$20</c:f>
              <c:numCache>
                <c:formatCode>General</c:formatCode>
                <c:ptCount val="17"/>
                <c:pt idx="0">
                  <c:v>0.86</c:v>
                </c:pt>
                <c:pt idx="1">
                  <c:v>1</c:v>
                </c:pt>
                <c:pt idx="2">
                  <c:v>1.1000000000000001</c:v>
                </c:pt>
                <c:pt idx="3">
                  <c:v>1.2</c:v>
                </c:pt>
                <c:pt idx="4">
                  <c:v>1.3</c:v>
                </c:pt>
                <c:pt idx="5">
                  <c:v>1.4</c:v>
                </c:pt>
                <c:pt idx="6" formatCode="0.0">
                  <c:v>1.5</c:v>
                </c:pt>
                <c:pt idx="7">
                  <c:v>1.6</c:v>
                </c:pt>
                <c:pt idx="8">
                  <c:v>1.7</c:v>
                </c:pt>
                <c:pt idx="9">
                  <c:v>1.8</c:v>
                </c:pt>
                <c:pt idx="10">
                  <c:v>1.9</c:v>
                </c:pt>
                <c:pt idx="11">
                  <c:v>2</c:v>
                </c:pt>
                <c:pt idx="12">
                  <c:v>2.1</c:v>
                </c:pt>
                <c:pt idx="13">
                  <c:v>2.2000000000000002</c:v>
                </c:pt>
                <c:pt idx="14">
                  <c:v>2.2999999999999998</c:v>
                </c:pt>
                <c:pt idx="15">
                  <c:v>2.4</c:v>
                </c:pt>
                <c:pt idx="16">
                  <c:v>2.5</c:v>
                </c:pt>
              </c:numCache>
            </c:numRef>
          </c:xVal>
          <c:yVal>
            <c:numRef>
              <c:f>'Formulas priming sugar addition'!$B$4:$B$20</c:f>
              <c:numCache>
                <c:formatCode>General</c:formatCode>
                <c:ptCount val="17"/>
                <c:pt idx="0">
                  <c:v>0</c:v>
                </c:pt>
                <c:pt idx="1">
                  <c:v>0.6</c:v>
                </c:pt>
                <c:pt idx="2">
                  <c:v>1</c:v>
                </c:pt>
                <c:pt idx="3">
                  <c:v>1.4</c:v>
                </c:pt>
                <c:pt idx="4">
                  <c:v>1.8</c:v>
                </c:pt>
                <c:pt idx="5">
                  <c:v>2.2000000000000002</c:v>
                </c:pt>
                <c:pt idx="6">
                  <c:v>2.6</c:v>
                </c:pt>
                <c:pt idx="7">
                  <c:v>3</c:v>
                </c:pt>
                <c:pt idx="8">
                  <c:v>3.4</c:v>
                </c:pt>
                <c:pt idx="9">
                  <c:v>3.8</c:v>
                </c:pt>
                <c:pt idx="10">
                  <c:v>4.2</c:v>
                </c:pt>
                <c:pt idx="11">
                  <c:v>4.5999999999999996</c:v>
                </c:pt>
                <c:pt idx="12">
                  <c:v>5</c:v>
                </c:pt>
                <c:pt idx="13">
                  <c:v>5.4</c:v>
                </c:pt>
                <c:pt idx="14">
                  <c:v>5.8</c:v>
                </c:pt>
                <c:pt idx="15">
                  <c:v>6.2</c:v>
                </c:pt>
                <c:pt idx="16">
                  <c:v>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4B-4F20-969F-6A3C47A6C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48960"/>
        <c:axId val="209441056"/>
      </c:scatterChart>
      <c:valAx>
        <c:axId val="20944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41056"/>
        <c:crosses val="autoZero"/>
        <c:crossBetween val="midCat"/>
      </c:valAx>
      <c:valAx>
        <c:axId val="20944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4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Sugar (g) 19C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'Formulas priming sugar addition'!$B$24</c:f>
              <c:strCache>
                <c:ptCount val="1"/>
                <c:pt idx="0">
                  <c:v>Sugar (g)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089840791050912E-2"/>
                  <c:y val="1.3933912602844468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lt1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y = 4,0119x - 3,5237</a:t>
                    </a: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'Formulas priming sugar addition'!$A$25:$A$41</c:f>
              <c:numCache>
                <c:formatCode>General</c:formatCode>
                <c:ptCount val="17"/>
                <c:pt idx="0">
                  <c:v>0.89</c:v>
                </c:pt>
                <c:pt idx="1">
                  <c:v>1</c:v>
                </c:pt>
                <c:pt idx="2">
                  <c:v>1.1000000000000001</c:v>
                </c:pt>
                <c:pt idx="3">
                  <c:v>1.2</c:v>
                </c:pt>
                <c:pt idx="4">
                  <c:v>1.3</c:v>
                </c:pt>
                <c:pt idx="5">
                  <c:v>1.4</c:v>
                </c:pt>
                <c:pt idx="6" formatCode="0.0">
                  <c:v>1.5</c:v>
                </c:pt>
                <c:pt idx="7">
                  <c:v>1.6</c:v>
                </c:pt>
                <c:pt idx="8">
                  <c:v>1.7</c:v>
                </c:pt>
                <c:pt idx="9">
                  <c:v>1.8</c:v>
                </c:pt>
                <c:pt idx="10">
                  <c:v>1.9</c:v>
                </c:pt>
                <c:pt idx="11">
                  <c:v>2</c:v>
                </c:pt>
                <c:pt idx="12">
                  <c:v>2.1</c:v>
                </c:pt>
                <c:pt idx="13">
                  <c:v>2.2000000000000002</c:v>
                </c:pt>
                <c:pt idx="14">
                  <c:v>2.2999999999999998</c:v>
                </c:pt>
                <c:pt idx="15">
                  <c:v>2.4</c:v>
                </c:pt>
                <c:pt idx="16">
                  <c:v>2.5</c:v>
                </c:pt>
              </c:numCache>
            </c:numRef>
          </c:xVal>
          <c:yVal>
            <c:numRef>
              <c:f>'Formulas priming sugar addition'!$B$25:$B$41</c:f>
              <c:numCache>
                <c:formatCode>General</c:formatCode>
                <c:ptCount val="17"/>
                <c:pt idx="0">
                  <c:v>0</c:v>
                </c:pt>
                <c:pt idx="1">
                  <c:v>0.5</c:v>
                </c:pt>
                <c:pt idx="2">
                  <c:v>0.9</c:v>
                </c:pt>
                <c:pt idx="3">
                  <c:v>1.3</c:v>
                </c:pt>
                <c:pt idx="4">
                  <c:v>1.7</c:v>
                </c:pt>
                <c:pt idx="5">
                  <c:v>2.1</c:v>
                </c:pt>
                <c:pt idx="6">
                  <c:v>2.5</c:v>
                </c:pt>
                <c:pt idx="7">
                  <c:v>2.9</c:v>
                </c:pt>
                <c:pt idx="8">
                  <c:v>3.3</c:v>
                </c:pt>
                <c:pt idx="9">
                  <c:v>3.7</c:v>
                </c:pt>
                <c:pt idx="10">
                  <c:v>4.0999999999999996</c:v>
                </c:pt>
                <c:pt idx="11">
                  <c:v>4.5</c:v>
                </c:pt>
                <c:pt idx="12">
                  <c:v>4.9000000000000004</c:v>
                </c:pt>
                <c:pt idx="13">
                  <c:v>5.3</c:v>
                </c:pt>
                <c:pt idx="14">
                  <c:v>5.7</c:v>
                </c:pt>
                <c:pt idx="15">
                  <c:v>6.1</c:v>
                </c:pt>
                <c:pt idx="16">
                  <c:v>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7F-40B2-B1F5-B0DFD7F30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30928"/>
        <c:axId val="228620528"/>
      </c:scatterChart>
      <c:valAx>
        <c:axId val="22863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620528"/>
        <c:crosses val="autoZero"/>
        <c:crossBetween val="midCat"/>
      </c:valAx>
      <c:valAx>
        <c:axId val="2286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63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Sugar (g) 18C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'Formulas priming sugar addition'!$B$45</c:f>
              <c:strCache>
                <c:ptCount val="1"/>
                <c:pt idx="0">
                  <c:v>Sugar (g)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9.8578811102425473E-2"/>
                  <c:y val="2.3534007257548624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lt1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/>
                      <a:t>y = 3,9961x - 3,6923</a:t>
                    </a: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'Formulas priming sugar addition'!$A$46:$A$62</c:f>
              <c:numCache>
                <c:formatCode>General</c:formatCode>
                <c:ptCount val="17"/>
                <c:pt idx="0">
                  <c:v>0.92</c:v>
                </c:pt>
                <c:pt idx="1">
                  <c:v>1</c:v>
                </c:pt>
                <c:pt idx="2">
                  <c:v>1.1000000000000001</c:v>
                </c:pt>
                <c:pt idx="3">
                  <c:v>1.2</c:v>
                </c:pt>
                <c:pt idx="4">
                  <c:v>1.3</c:v>
                </c:pt>
                <c:pt idx="5">
                  <c:v>1.4</c:v>
                </c:pt>
                <c:pt idx="6" formatCode="0.0">
                  <c:v>1.5</c:v>
                </c:pt>
                <c:pt idx="7">
                  <c:v>1.6</c:v>
                </c:pt>
                <c:pt idx="8">
                  <c:v>1.7</c:v>
                </c:pt>
                <c:pt idx="9">
                  <c:v>1.8</c:v>
                </c:pt>
                <c:pt idx="10">
                  <c:v>1.9</c:v>
                </c:pt>
                <c:pt idx="11">
                  <c:v>2</c:v>
                </c:pt>
                <c:pt idx="12">
                  <c:v>2.1</c:v>
                </c:pt>
                <c:pt idx="13">
                  <c:v>2.2000000000000002</c:v>
                </c:pt>
                <c:pt idx="14">
                  <c:v>2.2999999999999998</c:v>
                </c:pt>
                <c:pt idx="15">
                  <c:v>2.4</c:v>
                </c:pt>
                <c:pt idx="16">
                  <c:v>2.5</c:v>
                </c:pt>
              </c:numCache>
            </c:numRef>
          </c:xVal>
          <c:yVal>
            <c:numRef>
              <c:f>'Formulas priming sugar addition'!$B$46:$B$62</c:f>
              <c:numCache>
                <c:formatCode>General</c:formatCode>
                <c:ptCount val="17"/>
                <c:pt idx="0">
                  <c:v>0</c:v>
                </c:pt>
                <c:pt idx="1">
                  <c:v>0.3</c:v>
                </c:pt>
                <c:pt idx="2">
                  <c:v>0.7</c:v>
                </c:pt>
                <c:pt idx="3">
                  <c:v>1.1000000000000001</c:v>
                </c:pt>
                <c:pt idx="4">
                  <c:v>1.5</c:v>
                </c:pt>
                <c:pt idx="5">
                  <c:v>1.9</c:v>
                </c:pt>
                <c:pt idx="6">
                  <c:v>2.2999999999999998</c:v>
                </c:pt>
                <c:pt idx="7">
                  <c:v>2.7</c:v>
                </c:pt>
                <c:pt idx="8">
                  <c:v>3.1</c:v>
                </c:pt>
                <c:pt idx="9">
                  <c:v>3.5</c:v>
                </c:pt>
                <c:pt idx="10">
                  <c:v>3.9</c:v>
                </c:pt>
                <c:pt idx="11">
                  <c:v>4.3</c:v>
                </c:pt>
                <c:pt idx="12">
                  <c:v>4.7</c:v>
                </c:pt>
                <c:pt idx="13">
                  <c:v>5.0999999999999996</c:v>
                </c:pt>
                <c:pt idx="14">
                  <c:v>5.5</c:v>
                </c:pt>
                <c:pt idx="15">
                  <c:v>5.9</c:v>
                </c:pt>
                <c:pt idx="16">
                  <c:v>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86-46AC-9407-BC9EDBE88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11344"/>
        <c:axId val="144915088"/>
      </c:scatterChart>
      <c:valAx>
        <c:axId val="14491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15088"/>
        <c:crosses val="autoZero"/>
        <c:crossBetween val="midCat"/>
      </c:valAx>
      <c:valAx>
        <c:axId val="1449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1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1694329</xdr:colOff>
      <xdr:row>1</xdr:row>
      <xdr:rowOff>111822</xdr:rowOff>
    </xdr:from>
    <xdr:to>
      <xdr:col>9</xdr:col>
      <xdr:colOff>1119702</xdr:colOff>
      <xdr:row>4</xdr:row>
      <xdr:rowOff>7953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D1173D-BFE3-42CC-92DC-4A0746DA9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2896" b="96799" l="5525" r="91713">
                      <a14:foregroundMark x1="57459" y1="89787" x2="57459" y2="89787"/>
                      <a14:foregroundMark x1="59669" y1="93140" x2="59669" y2="93140"/>
                      <a14:foregroundMark x1="62983" y1="96799" x2="62983" y2="96799"/>
                      <a14:foregroundMark x1="69061" y1="96646" x2="69061" y2="96646"/>
                      <a14:foregroundMark x1="27072" y1="96646" x2="27072" y2="96646"/>
                      <a14:foregroundMark x1="82320" y1="84604" x2="82320" y2="84604"/>
                      <a14:foregroundMark x1="87845" y1="84756" x2="87845" y2="84756"/>
                      <a14:foregroundMark x1="91713" y1="84756" x2="91713" y2="84756"/>
                      <a14:foregroundMark x1="19337" y1="85366" x2="19337" y2="85366"/>
                      <a14:foregroundMark x1="13260" y1="85366" x2="13260" y2="85366"/>
                      <a14:foregroundMark x1="9392" y1="85213" x2="9392" y2="85213"/>
                      <a14:foregroundMark x1="6077" y1="85213" x2="6077" y2="85213"/>
                      <a14:foregroundMark x1="48619" y1="7317" x2="48619" y2="7317"/>
                      <a14:foregroundMark x1="49171" y1="2896" x2="49171" y2="2896"/>
                      <a14:backgroundMark x1="85635" y1="86433" x2="85635" y2="86433"/>
                      <a14:backgroundMark x1="85083" y1="89634" x2="85083" y2="89634"/>
                      <a14:backgroundMark x1="90055" y1="92988" x2="90055" y2="92988"/>
                      <a14:backgroundMark x1="22652" y1="92226" x2="22652" y2="92226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rot="16200000">
          <a:off x="12091092" y="-423764"/>
          <a:ext cx="523660" cy="19713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552995</xdr:colOff>
      <xdr:row>1</xdr:row>
      <xdr:rowOff>131719</xdr:rowOff>
    </xdr:from>
    <xdr:to>
      <xdr:col>2</xdr:col>
      <xdr:colOff>652917</xdr:colOff>
      <xdr:row>13</xdr:row>
      <xdr:rowOff>32658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67A5959-E5DE-4C59-ABEC-295EDC786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995" y="360319"/>
          <a:ext cx="4563065" cy="21216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597091</xdr:colOff>
      <xdr:row>3</xdr:row>
      <xdr:rowOff>1230</xdr:rowOff>
    </xdr:from>
    <xdr:to>
      <xdr:col>10</xdr:col>
      <xdr:colOff>601981</xdr:colOff>
      <xdr:row>19</xdr:row>
      <xdr:rowOff>161365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ABC39A0-8D02-4E98-9E43-C0D59B54AD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606976</xdr:colOff>
      <xdr:row>23</xdr:row>
      <xdr:rowOff>170001</xdr:rowOff>
    </xdr:from>
    <xdr:to>
      <xdr:col>10</xdr:col>
      <xdr:colOff>594360</xdr:colOff>
      <xdr:row>41</xdr:row>
      <xdr:rowOff>8964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03640A-DF21-42FA-8BCC-3F3F002690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593606</xdr:colOff>
      <xdr:row>44</xdr:row>
      <xdr:rowOff>174391</xdr:rowOff>
    </xdr:from>
    <xdr:to>
      <xdr:col>10</xdr:col>
      <xdr:colOff>601979</xdr:colOff>
      <xdr:row>62</xdr:row>
      <xdr:rowOff>8965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A24E169-8911-461C-8529-21AAA0EC89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brewersfriend.com/beer-priming-calculato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B1:J18"/>
  <sheetViews>
    <sheetView tabSelected="1" zoomScale="70" zoomScaleNormal="70" workbookViewId="0">
      <selection activeCell="H19" sqref="H19"/>
    </sheetView>
  </sheetViews>
  <sheetFormatPr defaultRowHeight="14.4" x14ac:dyDescent="0.3"/>
  <cols>
    <col min="1" max="1" width="4.33203125" customWidth="1"/>
    <col min="2" max="2" width="29.77734375" customWidth="1"/>
    <col min="3" max="3" width="22.5546875" customWidth="1"/>
    <col min="4" max="4" width="12" customWidth="1"/>
    <col min="5" max="5" width="23.33203125" customWidth="1"/>
    <col min="6" max="6" width="22.33203125" bestFit="1" customWidth="1"/>
    <col min="7" max="7" width="26.5546875" bestFit="1" customWidth="1"/>
    <col min="8" max="8" width="37.109375" bestFit="1" customWidth="1"/>
    <col min="9" max="9" width="31.6640625" hidden="1" customWidth="1"/>
    <col min="10" max="10" width="28.88671875" bestFit="1" customWidth="1"/>
    <col min="11" max="11" width="4.6640625" customWidth="1"/>
  </cols>
  <sheetData>
    <row r="1" spans="2:10" ht="15" thickBot="1" x14ac:dyDescent="0.35"/>
    <row r="2" spans="2:10" ht="21" x14ac:dyDescent="0.4">
      <c r="B2" s="43" t="s">
        <v>66</v>
      </c>
      <c r="C2" s="37"/>
      <c r="D2" s="37"/>
      <c r="E2" s="37"/>
      <c r="F2" s="37"/>
      <c r="G2" s="37"/>
      <c r="H2" s="37"/>
      <c r="I2" s="37"/>
      <c r="J2" s="36"/>
    </row>
    <row r="3" spans="2:10" x14ac:dyDescent="0.3">
      <c r="B3" s="38" t="s">
        <v>69</v>
      </c>
      <c r="C3" s="39"/>
      <c r="D3" s="39"/>
      <c r="E3" s="39"/>
      <c r="F3" s="39"/>
      <c r="G3" s="39"/>
      <c r="H3" s="39"/>
      <c r="I3" s="39"/>
      <c r="J3" s="34"/>
    </row>
    <row r="4" spans="2:10" x14ac:dyDescent="0.3">
      <c r="B4" s="40" t="s">
        <v>70</v>
      </c>
      <c r="C4" s="39"/>
      <c r="D4" s="39"/>
      <c r="E4" s="41" t="s">
        <v>67</v>
      </c>
      <c r="F4" s="39"/>
      <c r="G4" s="39"/>
      <c r="H4" s="39"/>
      <c r="I4" s="39"/>
      <c r="J4" s="34"/>
    </row>
    <row r="5" spans="2:10" x14ac:dyDescent="0.3">
      <c r="B5" s="40" t="s">
        <v>71</v>
      </c>
      <c r="C5" s="39"/>
      <c r="D5" s="39"/>
      <c r="E5" s="39"/>
      <c r="F5" s="39"/>
      <c r="G5" s="39"/>
      <c r="H5" s="39"/>
      <c r="I5" s="39"/>
      <c r="J5" s="34"/>
    </row>
    <row r="6" spans="2:10" x14ac:dyDescent="0.3">
      <c r="B6" s="42"/>
      <c r="C6" s="39"/>
      <c r="D6" s="39"/>
      <c r="E6" s="39"/>
      <c r="F6" s="39"/>
      <c r="G6" s="39"/>
      <c r="H6" s="39"/>
      <c r="I6" s="39"/>
      <c r="J6" s="34"/>
    </row>
    <row r="7" spans="2:10" x14ac:dyDescent="0.3">
      <c r="B7" s="21" t="s">
        <v>15</v>
      </c>
      <c r="C7" s="6" t="s">
        <v>16</v>
      </c>
      <c r="D7" s="29"/>
      <c r="E7" s="6" t="s">
        <v>64</v>
      </c>
      <c r="F7" s="6" t="s">
        <v>20</v>
      </c>
      <c r="G7" s="6" t="s">
        <v>17</v>
      </c>
      <c r="H7" s="13" t="s">
        <v>52</v>
      </c>
      <c r="I7" s="6" t="s">
        <v>63</v>
      </c>
      <c r="J7" s="22" t="s">
        <v>65</v>
      </c>
    </row>
    <row r="8" spans="2:10" x14ac:dyDescent="0.3">
      <c r="B8" s="23" t="s">
        <v>0</v>
      </c>
      <c r="C8" s="7" t="s">
        <v>1</v>
      </c>
      <c r="D8" s="29"/>
      <c r="E8" s="44">
        <v>0.375</v>
      </c>
      <c r="F8" s="45">
        <v>18</v>
      </c>
      <c r="G8" s="44">
        <v>2.2000000000000002</v>
      </c>
      <c r="H8" s="45" t="s">
        <v>28</v>
      </c>
      <c r="I8" s="5">
        <f>(IF(F8=20,(4.0081*G8-3.4161),IF(F8=19,(4.0119*G8-3.5237),IF(F8=18,(3.9961*G8-3.6923),""))))*E8</f>
        <v>1.9121700000000004</v>
      </c>
      <c r="J8" s="24">
        <f>IF(H8='Sugar types'!A38,I8*'Sugar types'!D38,IF(H8='Sugar types'!A39,I8*'Sugar types'!D39,IF(H8='Sugar types'!A40,I8*'Sugar types'!D40,IF(H8='Sugar types'!A41,I8*'Sugar types'!D41,IF(H8='Sugar types'!A42,I8*'Sugar types'!D42,IF(H8='Sugar types'!A43,I8*'Sugar types'!D43,IF(H8='Sugar types'!A44,I8*'Sugar types'!D44,IF(H8='Sugar types'!A45,I8*'Sugar types'!D45,IF(H8='Sugar types'!A46,I8*'Sugar types'!D46,IF(H8='Sugar types'!A47,I8*'Sugar types'!D47,IF(H8='Sugar types'!A48,I8*'Sugar types'!D48,IF(H8='Sugar types'!A49,I8*'Sugar types'!D49,IF(H8='Sugar types'!A50,I8*'Sugar types'!D50,IF(H8='Sugar types'!A51,I8*'Sugar types'!D51,IF(H8='Sugar types'!A52,I8*'Sugar types'!D52,IF(H8='Sugar types'!A53,I8*'Sugar types'!D53,IF(H8='Sugar types'!A54,I8*'Sugar types'!D54,"")))))))))))))))))</f>
        <v>1.9121700000000004</v>
      </c>
    </row>
    <row r="9" spans="2:10" x14ac:dyDescent="0.3">
      <c r="B9" s="23" t="s">
        <v>2</v>
      </c>
      <c r="C9" s="7" t="s">
        <v>3</v>
      </c>
      <c r="D9" s="29"/>
      <c r="E9" s="29"/>
      <c r="F9" s="29"/>
      <c r="G9" s="29"/>
      <c r="H9" s="29"/>
      <c r="I9" s="29"/>
      <c r="J9" s="34"/>
    </row>
    <row r="10" spans="2:10" x14ac:dyDescent="0.3">
      <c r="B10" s="23" t="s">
        <v>4</v>
      </c>
      <c r="C10" s="7" t="s">
        <v>5</v>
      </c>
      <c r="D10" s="29"/>
      <c r="E10" s="6" t="s">
        <v>21</v>
      </c>
      <c r="F10" s="6" t="s">
        <v>23</v>
      </c>
      <c r="G10" s="6" t="s">
        <v>22</v>
      </c>
      <c r="H10" s="6" t="s">
        <v>72</v>
      </c>
      <c r="I10" s="6" t="s">
        <v>24</v>
      </c>
      <c r="J10" s="25" t="s">
        <v>68</v>
      </c>
    </row>
    <row r="11" spans="2:10" x14ac:dyDescent="0.3">
      <c r="B11" s="23" t="s">
        <v>6</v>
      </c>
      <c r="C11" s="7" t="s">
        <v>7</v>
      </c>
      <c r="D11" s="29"/>
      <c r="E11" s="45">
        <v>40</v>
      </c>
      <c r="F11" s="18">
        <f>J8*E11</f>
        <v>76.486800000000017</v>
      </c>
      <c r="G11" s="46">
        <v>200</v>
      </c>
      <c r="H11" s="9">
        <f>J8/I11</f>
        <v>5</v>
      </c>
      <c r="I11" s="19">
        <f>F11/G11</f>
        <v>0.38243400000000011</v>
      </c>
      <c r="J11" s="26">
        <f>H11/(E8*1000)</f>
        <v>1.3333333333333334E-2</v>
      </c>
    </row>
    <row r="12" spans="2:10" x14ac:dyDescent="0.3">
      <c r="B12" s="23" t="s">
        <v>8</v>
      </c>
      <c r="C12" s="7" t="s">
        <v>9</v>
      </c>
      <c r="D12" s="29"/>
      <c r="E12" s="29"/>
      <c r="F12" s="29"/>
      <c r="G12" s="31"/>
      <c r="H12" s="31"/>
      <c r="I12" s="29"/>
      <c r="J12" s="32"/>
    </row>
    <row r="13" spans="2:10" x14ac:dyDescent="0.3">
      <c r="B13" s="23" t="s">
        <v>10</v>
      </c>
      <c r="C13" s="7" t="s">
        <v>5</v>
      </c>
      <c r="D13" s="29"/>
      <c r="E13" s="29"/>
      <c r="F13" s="29"/>
      <c r="G13" s="6" t="s">
        <v>73</v>
      </c>
      <c r="H13" s="40" t="s">
        <v>74</v>
      </c>
      <c r="I13" s="29"/>
      <c r="J13" s="33"/>
    </row>
    <row r="14" spans="2:10" x14ac:dyDescent="0.3">
      <c r="B14" s="23" t="s">
        <v>11</v>
      </c>
      <c r="C14" s="7" t="s">
        <v>12</v>
      </c>
      <c r="D14" s="29"/>
      <c r="E14" s="29"/>
      <c r="F14" s="29"/>
      <c r="G14" s="47">
        <f>F11/G11</f>
        <v>0.38243400000000011</v>
      </c>
      <c r="H14" s="40" t="s">
        <v>75</v>
      </c>
      <c r="I14" s="29"/>
      <c r="J14" s="34"/>
    </row>
    <row r="15" spans="2:10" ht="15" thickBot="1" x14ac:dyDescent="0.35">
      <c r="B15" s="27" t="s">
        <v>13</v>
      </c>
      <c r="C15" s="28" t="s">
        <v>14</v>
      </c>
      <c r="D15" s="30"/>
      <c r="E15" s="30"/>
      <c r="F15" s="30"/>
      <c r="G15" s="30"/>
      <c r="H15" s="30"/>
      <c r="I15" s="30"/>
      <c r="J15" s="35"/>
    </row>
    <row r="16" spans="2:10" x14ac:dyDescent="0.3">
      <c r="G16" s="3"/>
    </row>
    <row r="17" spans="7:7" x14ac:dyDescent="0.3">
      <c r="G17" s="3"/>
    </row>
    <row r="18" spans="7:7" x14ac:dyDescent="0.3">
      <c r="G18" s="3"/>
    </row>
  </sheetData>
  <sheetProtection algorithmName="SHA-512" hashValue="QxQv4yDPpj76zD4Xw/bt1Zp8O7IeCaplnzOVXeG01eo0C5N+jUvroNMnO10k08JHg7P94mG4Ul9XmPOPDcpcKQ==" saltValue="WG0InxgafjvRPjX5Z55LJQ==" spinCount="100000" sheet="1" objects="1" scenarios="1"/>
  <conditionalFormatting sqref="G14">
    <cfRule type="cellIs" dxfId="1" priority="2" operator="greaterThan">
      <formula>"1.79"</formula>
    </cfRule>
    <cfRule type="cellIs" dxfId="0" priority="1" operator="greaterThan">
      <formula>1.79</formula>
    </cfRule>
  </conditionalFormatting>
  <dataValidations count="1">
    <dataValidation type="list" allowBlank="1" showInputMessage="1" showErrorMessage="1" sqref="F8" xr:uid="{A476AA18-6C74-4147-B8DE-69780ADE384C}">
      <formula1>"18,19,20"</formula1>
    </dataValidation>
  </dataValidations>
  <hyperlinks>
    <hyperlink ref="E4" r:id="rId1" xr:uid="{F4B68D36-2B94-4877-949D-328AEECF30C1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1FDACCB-71D7-407E-AAA1-DCC99F2BF2A0}">
          <x14:formula1>
            <xm:f>'Sugar types'!$F$3:$F$13</xm:f>
          </x14:formula1>
          <xm:sqref>E8</xm:sqref>
        </x14:dataValidation>
        <x14:dataValidation type="list" allowBlank="1" showInputMessage="1" showErrorMessage="1" xr:uid="{35C8CD68-AE0A-4DA0-B2E9-1763B556A6A3}">
          <x14:formula1>
            <xm:f>'Sugar types'!$A$38:$A$54</xm:f>
          </x14:formula1>
          <xm:sqref>H8</xm:sqref>
        </x14:dataValidation>
        <x14:dataValidation type="list" allowBlank="1" showInputMessage="1" showErrorMessage="1" xr:uid="{F1DDE60D-3FE1-4EE5-8E58-D022DF034147}">
          <x14:formula1>
            <xm:f>'Formulas priming sugar addition'!$A$10:$A$20</xm:f>
          </x14:formula1>
          <xm:sqref>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5C071-5865-4F5A-A43E-816BEB2CD11E}">
  <sheetPr codeName="Sheet2">
    <tabColor theme="0" tint="-0.249977111117893"/>
  </sheetPr>
  <dimension ref="A1:L54"/>
  <sheetViews>
    <sheetView topLeftCell="A40" zoomScale="85" zoomScaleNormal="85" workbookViewId="0">
      <selection activeCell="F7" sqref="F7"/>
    </sheetView>
  </sheetViews>
  <sheetFormatPr defaultRowHeight="14.4" x14ac:dyDescent="0.3"/>
  <cols>
    <col min="1" max="1" width="21" customWidth="1"/>
    <col min="2" max="2" width="44.109375" bestFit="1" customWidth="1"/>
    <col min="3" max="3" width="30.77734375" bestFit="1" customWidth="1"/>
    <col min="4" max="4" width="36.88671875" bestFit="1" customWidth="1"/>
    <col min="5" max="5" width="29.44140625" bestFit="1" customWidth="1"/>
    <col min="6" max="6" width="30.77734375" bestFit="1" customWidth="1"/>
    <col min="7" max="7" width="31.44140625" bestFit="1" customWidth="1"/>
    <col min="8" max="8" width="30.77734375" bestFit="1" customWidth="1"/>
    <col min="9" max="12" width="31.44140625" bestFit="1" customWidth="1"/>
  </cols>
  <sheetData>
    <row r="1" spans="1:12" ht="23.4" x14ac:dyDescent="0.45">
      <c r="A1" s="17" t="s">
        <v>62</v>
      </c>
    </row>
    <row r="2" spans="1:12" x14ac:dyDescent="0.3">
      <c r="F2" s="15" t="s">
        <v>61</v>
      </c>
    </row>
    <row r="3" spans="1:12" x14ac:dyDescent="0.3">
      <c r="F3" s="16">
        <v>0.15</v>
      </c>
    </row>
    <row r="4" spans="1:12" x14ac:dyDescent="0.3">
      <c r="F4" s="1">
        <v>0.25</v>
      </c>
    </row>
    <row r="5" spans="1:12" x14ac:dyDescent="0.3">
      <c r="F5" s="1">
        <v>0.3</v>
      </c>
    </row>
    <row r="6" spans="1:12" x14ac:dyDescent="0.3">
      <c r="F6" s="1">
        <v>0.33</v>
      </c>
    </row>
    <row r="7" spans="1:12" x14ac:dyDescent="0.3">
      <c r="F7" s="1">
        <v>0.35499999999999998</v>
      </c>
    </row>
    <row r="8" spans="1:12" x14ac:dyDescent="0.3">
      <c r="F8" s="1">
        <v>0.375</v>
      </c>
    </row>
    <row r="9" spans="1:12" x14ac:dyDescent="0.3">
      <c r="F9" s="1">
        <v>0.44</v>
      </c>
    </row>
    <row r="10" spans="1:12" x14ac:dyDescent="0.3">
      <c r="F10" s="1">
        <v>0.47299999999999998</v>
      </c>
    </row>
    <row r="11" spans="1:12" x14ac:dyDescent="0.3">
      <c r="F11" s="1">
        <v>0.5</v>
      </c>
    </row>
    <row r="12" spans="1:12" x14ac:dyDescent="0.3">
      <c r="F12" s="1">
        <v>0.75</v>
      </c>
    </row>
    <row r="13" spans="1:12" x14ac:dyDescent="0.3">
      <c r="F13" s="2">
        <v>1</v>
      </c>
    </row>
    <row r="16" spans="1:12" x14ac:dyDescent="0.3">
      <c r="A16" s="10" t="s">
        <v>26</v>
      </c>
      <c r="B16" s="10" t="s">
        <v>38</v>
      </c>
      <c r="C16" s="10" t="s">
        <v>39</v>
      </c>
      <c r="D16" s="10" t="s">
        <v>55</v>
      </c>
      <c r="E16" s="10" t="s">
        <v>56</v>
      </c>
      <c r="F16" s="10" t="s">
        <v>40</v>
      </c>
      <c r="G16" s="10" t="s">
        <v>41</v>
      </c>
      <c r="H16" s="10" t="s">
        <v>42</v>
      </c>
      <c r="I16" s="10" t="s">
        <v>43</v>
      </c>
      <c r="J16" s="10" t="s">
        <v>44</v>
      </c>
      <c r="K16" s="10" t="s">
        <v>45</v>
      </c>
      <c r="L16" s="10" t="s">
        <v>46</v>
      </c>
    </row>
    <row r="17" spans="1:12" x14ac:dyDescent="0.3">
      <c r="A17" s="1" t="s">
        <v>25</v>
      </c>
      <c r="B17" s="2">
        <v>2.6</v>
      </c>
      <c r="C17" s="2">
        <v>3</v>
      </c>
      <c r="D17" s="1">
        <v>3.4</v>
      </c>
      <c r="E17" s="2">
        <v>3.8</v>
      </c>
      <c r="F17" s="2">
        <v>4.2</v>
      </c>
      <c r="G17" s="1">
        <v>4.5999999999999996</v>
      </c>
      <c r="H17" s="2">
        <v>5</v>
      </c>
      <c r="I17" s="2">
        <v>5.4</v>
      </c>
      <c r="J17" s="1">
        <v>5.8</v>
      </c>
      <c r="K17" s="2">
        <v>6.2</v>
      </c>
      <c r="L17" s="2">
        <v>6.6</v>
      </c>
    </row>
    <row r="18" spans="1:12" x14ac:dyDescent="0.3">
      <c r="A18" s="1" t="s">
        <v>27</v>
      </c>
      <c r="B18" s="1">
        <v>2.8</v>
      </c>
      <c r="C18" s="1">
        <v>3.2</v>
      </c>
      <c r="D18" s="1">
        <v>3.7</v>
      </c>
      <c r="E18" s="1">
        <v>4.0999999999999996</v>
      </c>
      <c r="F18" s="1">
        <v>4.5999999999999996</v>
      </c>
      <c r="G18" s="1">
        <v>5</v>
      </c>
      <c r="H18" s="1">
        <v>5.4</v>
      </c>
      <c r="I18" s="1">
        <v>5.9</v>
      </c>
      <c r="J18" s="1">
        <v>6.3</v>
      </c>
      <c r="K18" s="1">
        <v>6.8</v>
      </c>
      <c r="L18" s="1">
        <v>7.2</v>
      </c>
    </row>
    <row r="19" spans="1:12" x14ac:dyDescent="0.3">
      <c r="A19" s="1" t="s">
        <v>29</v>
      </c>
      <c r="B19" s="1">
        <v>3.8</v>
      </c>
      <c r="C19" s="1">
        <v>4.3</v>
      </c>
      <c r="D19" s="1">
        <v>4.9000000000000004</v>
      </c>
      <c r="E19" s="1">
        <v>5.5</v>
      </c>
      <c r="F19" s="1">
        <v>6.1</v>
      </c>
      <c r="G19" s="1">
        <v>6.7</v>
      </c>
      <c r="H19" s="1">
        <v>7.3</v>
      </c>
      <c r="I19" s="1">
        <v>7.9</v>
      </c>
      <c r="J19" s="1">
        <v>8.5</v>
      </c>
      <c r="K19" s="1">
        <v>9.1</v>
      </c>
      <c r="L19" s="1">
        <v>9.6</v>
      </c>
    </row>
    <row r="20" spans="1:12" x14ac:dyDescent="0.3">
      <c r="A20" s="1" t="s">
        <v>47</v>
      </c>
      <c r="B20" s="1">
        <v>4.0999999999999996</v>
      </c>
      <c r="C20" s="1">
        <v>4.7</v>
      </c>
      <c r="D20" s="1">
        <v>5.3</v>
      </c>
      <c r="E20" s="1">
        <v>6</v>
      </c>
      <c r="F20" s="1">
        <v>6.6</v>
      </c>
      <c r="G20" s="1">
        <v>7.2</v>
      </c>
      <c r="H20" s="1">
        <v>7.9</v>
      </c>
      <c r="I20" s="1">
        <v>8.5</v>
      </c>
      <c r="J20" s="1">
        <v>9.1</v>
      </c>
      <c r="K20" s="1">
        <v>9.8000000000000007</v>
      </c>
      <c r="L20" s="1">
        <v>10.4</v>
      </c>
    </row>
    <row r="21" spans="1:12" x14ac:dyDescent="0.3">
      <c r="A21" s="1" t="s">
        <v>57</v>
      </c>
      <c r="B21" s="1">
        <v>3.4</v>
      </c>
      <c r="C21" s="1">
        <v>3.9</v>
      </c>
      <c r="D21" s="1">
        <v>4.5</v>
      </c>
      <c r="E21" s="1">
        <v>5</v>
      </c>
      <c r="F21" s="1">
        <v>5.5</v>
      </c>
      <c r="G21" s="11">
        <v>6.1</v>
      </c>
      <c r="H21" s="1">
        <v>6.6</v>
      </c>
      <c r="I21" s="1">
        <v>7.1</v>
      </c>
      <c r="J21" s="1">
        <v>7.7</v>
      </c>
      <c r="K21" s="1">
        <v>8.1999999999999993</v>
      </c>
      <c r="L21" s="1">
        <v>8.6999999999999993</v>
      </c>
    </row>
    <row r="22" spans="1:12" x14ac:dyDescent="0.3">
      <c r="A22" s="1" t="s">
        <v>30</v>
      </c>
      <c r="B22" s="1">
        <v>2.9</v>
      </c>
      <c r="C22" s="1">
        <v>3.4</v>
      </c>
      <c r="D22" s="1">
        <v>3.9</v>
      </c>
      <c r="E22" s="1">
        <v>4.3</v>
      </c>
      <c r="F22" s="1">
        <v>4.8</v>
      </c>
      <c r="G22" s="11">
        <v>5.2</v>
      </c>
      <c r="H22" s="1">
        <v>5.7</v>
      </c>
      <c r="I22" s="1">
        <v>6.2</v>
      </c>
      <c r="J22" s="1">
        <v>6.6</v>
      </c>
      <c r="K22" s="1">
        <v>7.1</v>
      </c>
      <c r="L22" s="1">
        <v>7.5</v>
      </c>
    </row>
    <row r="23" spans="1:12" x14ac:dyDescent="0.3">
      <c r="A23" s="1" t="s">
        <v>58</v>
      </c>
      <c r="B23" s="1">
        <v>2.9</v>
      </c>
      <c r="C23" s="1">
        <v>3.3</v>
      </c>
      <c r="D23" s="1">
        <v>3.8</v>
      </c>
      <c r="E23" s="1">
        <v>4.2</v>
      </c>
      <c r="F23" s="1">
        <v>4.7</v>
      </c>
      <c r="G23" s="11">
        <v>5.0999999999999996</v>
      </c>
      <c r="H23" s="1">
        <v>5.6</v>
      </c>
      <c r="I23" s="1">
        <v>6</v>
      </c>
      <c r="J23" s="1">
        <v>6.5</v>
      </c>
      <c r="K23" s="1">
        <v>6.9</v>
      </c>
      <c r="L23" s="1">
        <v>7.4</v>
      </c>
    </row>
    <row r="24" spans="1:12" x14ac:dyDescent="0.3">
      <c r="A24" s="1" t="s">
        <v>31</v>
      </c>
      <c r="B24" s="1">
        <v>3.7</v>
      </c>
      <c r="C24" s="1">
        <v>4.3</v>
      </c>
      <c r="D24" s="1">
        <v>4.9000000000000004</v>
      </c>
      <c r="E24" s="1">
        <v>5.4</v>
      </c>
      <c r="F24" s="1">
        <v>6</v>
      </c>
      <c r="G24" s="11">
        <v>6.6</v>
      </c>
      <c r="H24" s="1">
        <v>7.2</v>
      </c>
      <c r="I24" s="1">
        <v>7.8</v>
      </c>
      <c r="J24" s="1">
        <v>8.3000000000000007</v>
      </c>
      <c r="K24" s="1">
        <v>8.9</v>
      </c>
      <c r="L24" s="1">
        <v>9.5</v>
      </c>
    </row>
    <row r="25" spans="1:12" x14ac:dyDescent="0.3">
      <c r="A25" s="1" t="s">
        <v>32</v>
      </c>
      <c r="B25" s="1">
        <v>2.6</v>
      </c>
      <c r="C25" s="1">
        <v>3</v>
      </c>
      <c r="D25" s="1">
        <v>3.4</v>
      </c>
      <c r="E25" s="1">
        <v>3.8</v>
      </c>
      <c r="F25" s="1">
        <v>4.2</v>
      </c>
      <c r="G25" s="11">
        <v>4.5999999999999996</v>
      </c>
      <c r="H25" s="1">
        <v>5</v>
      </c>
      <c r="I25" s="1">
        <v>5.4</v>
      </c>
      <c r="J25" s="1">
        <v>5.8</v>
      </c>
      <c r="K25" s="1">
        <v>6.2</v>
      </c>
      <c r="L25" s="1">
        <v>6.6</v>
      </c>
    </row>
    <row r="26" spans="1:12" x14ac:dyDescent="0.3">
      <c r="A26" s="1" t="s">
        <v>48</v>
      </c>
      <c r="B26" s="1">
        <v>5.0999999999999996</v>
      </c>
      <c r="C26" s="1">
        <v>5.9</v>
      </c>
      <c r="D26" s="1">
        <v>6.7</v>
      </c>
      <c r="E26" s="1">
        <v>7.5</v>
      </c>
      <c r="F26" s="1">
        <v>8.3000000000000007</v>
      </c>
      <c r="G26" s="11">
        <v>9.1</v>
      </c>
      <c r="H26" s="1">
        <v>9.9</v>
      </c>
      <c r="I26" s="1">
        <v>10.7</v>
      </c>
      <c r="J26" s="1">
        <v>11.5</v>
      </c>
      <c r="K26" s="1">
        <v>12.3</v>
      </c>
      <c r="L26" s="1">
        <v>11.1</v>
      </c>
    </row>
    <row r="27" spans="1:12" x14ac:dyDescent="0.3">
      <c r="A27" s="1" t="s">
        <v>33</v>
      </c>
      <c r="B27" s="1">
        <v>3.5</v>
      </c>
      <c r="C27" s="1">
        <v>4</v>
      </c>
      <c r="D27" s="1">
        <v>4.5</v>
      </c>
      <c r="E27" s="1">
        <v>5.0999999999999996</v>
      </c>
      <c r="F27" s="1">
        <v>5.6</v>
      </c>
      <c r="G27" s="11">
        <v>6.2</v>
      </c>
      <c r="H27" s="1">
        <v>6.7</v>
      </c>
      <c r="I27" s="1">
        <v>7.2</v>
      </c>
      <c r="J27" s="1">
        <v>7.8</v>
      </c>
      <c r="K27" s="1">
        <v>8.3000000000000007</v>
      </c>
      <c r="L27" s="1">
        <v>8.9</v>
      </c>
    </row>
    <row r="28" spans="1:12" x14ac:dyDescent="0.3">
      <c r="A28" s="1" t="s">
        <v>59</v>
      </c>
      <c r="B28" s="1">
        <v>2.8</v>
      </c>
      <c r="C28" s="1">
        <v>3.2</v>
      </c>
      <c r="D28" s="1">
        <v>3.7</v>
      </c>
      <c r="E28" s="1">
        <v>4.0999999999999996</v>
      </c>
      <c r="F28" s="1">
        <v>4.5999999999999996</v>
      </c>
      <c r="G28" s="11">
        <v>5</v>
      </c>
      <c r="H28" s="1">
        <v>5.4</v>
      </c>
      <c r="I28" s="1">
        <v>5.9</v>
      </c>
      <c r="J28" s="1">
        <v>6.3</v>
      </c>
      <c r="K28" s="1">
        <v>6.8</v>
      </c>
      <c r="L28" s="1">
        <v>7.2</v>
      </c>
    </row>
    <row r="29" spans="1:12" x14ac:dyDescent="0.3">
      <c r="A29" s="1" t="s">
        <v>34</v>
      </c>
      <c r="B29" s="1">
        <v>3.3</v>
      </c>
      <c r="C29" s="1">
        <v>3.8</v>
      </c>
      <c r="D29" s="1">
        <v>4.4000000000000004</v>
      </c>
      <c r="E29" s="1">
        <v>4.9000000000000004</v>
      </c>
      <c r="F29" s="1">
        <v>5.4</v>
      </c>
      <c r="G29" s="11">
        <v>5.9</v>
      </c>
      <c r="H29" s="1">
        <v>6.4</v>
      </c>
      <c r="I29" s="1">
        <v>7</v>
      </c>
      <c r="J29" s="1">
        <v>7.5</v>
      </c>
      <c r="K29" s="1">
        <v>8</v>
      </c>
      <c r="L29" s="1">
        <v>8.5</v>
      </c>
    </row>
    <row r="30" spans="1:12" x14ac:dyDescent="0.3">
      <c r="A30" s="1" t="s">
        <v>35</v>
      </c>
      <c r="B30" s="1">
        <v>3.6</v>
      </c>
      <c r="C30" s="1">
        <v>4.2</v>
      </c>
      <c r="D30" s="1">
        <v>4.7</v>
      </c>
      <c r="E30" s="1">
        <v>5.3</v>
      </c>
      <c r="F30" s="1">
        <v>5.9</v>
      </c>
      <c r="G30" s="11">
        <v>6.4</v>
      </c>
      <c r="H30" s="1">
        <v>7</v>
      </c>
      <c r="I30" s="1">
        <v>7.5</v>
      </c>
      <c r="J30" s="1">
        <v>8.1</v>
      </c>
      <c r="K30" s="1">
        <v>8.6999999999999993</v>
      </c>
      <c r="L30" s="1">
        <v>9.1999999999999993</v>
      </c>
    </row>
    <row r="31" spans="1:12" x14ac:dyDescent="0.3">
      <c r="A31" s="1" t="s">
        <v>36</v>
      </c>
      <c r="B31" s="1">
        <v>3.2</v>
      </c>
      <c r="C31" s="1">
        <v>3.7</v>
      </c>
      <c r="D31" s="1">
        <v>4.2</v>
      </c>
      <c r="E31" s="1">
        <v>4.8</v>
      </c>
      <c r="F31" s="1">
        <v>5.3</v>
      </c>
      <c r="G31" s="11">
        <v>5.8</v>
      </c>
      <c r="H31" s="1">
        <v>6.3</v>
      </c>
      <c r="I31" s="1">
        <v>6.8</v>
      </c>
      <c r="J31" s="1">
        <v>7.3</v>
      </c>
      <c r="K31" s="1">
        <v>7.8</v>
      </c>
      <c r="L31" s="1">
        <v>8.3000000000000007</v>
      </c>
    </row>
    <row r="32" spans="1:12" x14ac:dyDescent="0.3">
      <c r="A32" s="1" t="s">
        <v>49</v>
      </c>
      <c r="B32" s="1">
        <v>3.7</v>
      </c>
      <c r="C32" s="1">
        <v>4.3</v>
      </c>
      <c r="D32" s="1">
        <v>4.9000000000000004</v>
      </c>
      <c r="E32" s="1">
        <v>5.4</v>
      </c>
      <c r="F32" s="1">
        <v>6</v>
      </c>
      <c r="G32" s="11">
        <v>6.6</v>
      </c>
      <c r="H32" s="1">
        <v>7.2</v>
      </c>
      <c r="I32" s="1">
        <v>7.8</v>
      </c>
      <c r="J32" s="1">
        <v>8.3000000000000007</v>
      </c>
      <c r="K32" s="1">
        <v>8.9</v>
      </c>
      <c r="L32" s="1">
        <v>9.5</v>
      </c>
    </row>
    <row r="33" spans="1:12" x14ac:dyDescent="0.3">
      <c r="A33" s="1" t="s">
        <v>37</v>
      </c>
      <c r="B33" s="1">
        <v>2.6</v>
      </c>
      <c r="C33" s="1">
        <v>3</v>
      </c>
      <c r="D33" s="1">
        <v>3.4</v>
      </c>
      <c r="E33" s="1">
        <v>3.8</v>
      </c>
      <c r="F33" s="1">
        <v>4.2</v>
      </c>
      <c r="G33" s="11">
        <v>4.5999999999999996</v>
      </c>
      <c r="H33" s="1">
        <v>5</v>
      </c>
      <c r="I33" s="1">
        <v>5.4</v>
      </c>
      <c r="J33" s="1">
        <v>5.8</v>
      </c>
      <c r="K33" s="1">
        <v>6.2</v>
      </c>
      <c r="L33" s="1">
        <v>6.6</v>
      </c>
    </row>
    <row r="35" spans="1:12" x14ac:dyDescent="0.3">
      <c r="A35" s="3"/>
      <c r="B35" s="4"/>
    </row>
    <row r="36" spans="1:12" ht="18" x14ac:dyDescent="0.35">
      <c r="A36" s="20" t="s">
        <v>51</v>
      </c>
    </row>
    <row r="37" spans="1:12" x14ac:dyDescent="0.3">
      <c r="A37" s="10" t="s">
        <v>26</v>
      </c>
      <c r="B37" s="10" t="s">
        <v>50</v>
      </c>
      <c r="C37" s="10" t="s">
        <v>38</v>
      </c>
      <c r="D37" s="14" t="s">
        <v>60</v>
      </c>
    </row>
    <row r="38" spans="1:12" x14ac:dyDescent="0.3">
      <c r="A38" s="1" t="s">
        <v>28</v>
      </c>
      <c r="B38" s="2">
        <f t="shared" ref="B38:B54" si="0">(L17-K17)+(K17-J17)+(J17-I17)+(I17-H17)+(H17-G17)+(G17-F17)+(F17-E17)+(E17-D17)+(D17-C17)+(C17-B17)</f>
        <v>3.9999999999999996</v>
      </c>
      <c r="C38" s="2">
        <v>2.6</v>
      </c>
      <c r="D38" s="1">
        <f t="shared" ref="D38:D54" si="1">C38/$C$38</f>
        <v>1</v>
      </c>
    </row>
    <row r="39" spans="1:12" x14ac:dyDescent="0.3">
      <c r="A39" s="1" t="s">
        <v>27</v>
      </c>
      <c r="B39" s="2">
        <f t="shared" si="0"/>
        <v>4.4000000000000004</v>
      </c>
      <c r="C39" s="1">
        <v>2.8</v>
      </c>
      <c r="D39" s="1">
        <f t="shared" si="1"/>
        <v>1.0769230769230769</v>
      </c>
    </row>
    <row r="40" spans="1:12" x14ac:dyDescent="0.3">
      <c r="A40" s="1" t="s">
        <v>29</v>
      </c>
      <c r="B40" s="2">
        <f t="shared" si="0"/>
        <v>5.8</v>
      </c>
      <c r="C40" s="1">
        <v>3.8</v>
      </c>
      <c r="D40" s="1">
        <f t="shared" si="1"/>
        <v>1.4615384615384615</v>
      </c>
    </row>
    <row r="41" spans="1:12" x14ac:dyDescent="0.3">
      <c r="A41" s="1" t="s">
        <v>47</v>
      </c>
      <c r="B41" s="2">
        <f t="shared" si="0"/>
        <v>6.3000000000000007</v>
      </c>
      <c r="C41" s="1">
        <v>4.0999999999999996</v>
      </c>
      <c r="D41" s="1">
        <f t="shared" si="1"/>
        <v>1.5769230769230766</v>
      </c>
    </row>
    <row r="42" spans="1:12" x14ac:dyDescent="0.3">
      <c r="A42" s="1" t="s">
        <v>57</v>
      </c>
      <c r="B42" s="2">
        <f t="shared" si="0"/>
        <v>5.2999999999999989</v>
      </c>
      <c r="C42" s="1">
        <v>3.4</v>
      </c>
      <c r="D42" s="1">
        <f t="shared" si="1"/>
        <v>1.3076923076923077</v>
      </c>
    </row>
    <row r="43" spans="1:12" x14ac:dyDescent="0.3">
      <c r="A43" s="1" t="s">
        <v>30</v>
      </c>
      <c r="B43" s="2">
        <f t="shared" si="0"/>
        <v>4.5999999999999996</v>
      </c>
      <c r="C43" s="1">
        <v>2.9</v>
      </c>
      <c r="D43" s="1">
        <f t="shared" si="1"/>
        <v>1.1153846153846154</v>
      </c>
    </row>
    <row r="44" spans="1:12" x14ac:dyDescent="0.3">
      <c r="A44" s="1" t="s">
        <v>58</v>
      </c>
      <c r="B44" s="2">
        <f t="shared" si="0"/>
        <v>4.5</v>
      </c>
      <c r="C44" s="1">
        <v>2.9</v>
      </c>
      <c r="D44" s="1">
        <f t="shared" si="1"/>
        <v>1.1153846153846154</v>
      </c>
    </row>
    <row r="45" spans="1:12" x14ac:dyDescent="0.3">
      <c r="A45" s="1" t="s">
        <v>31</v>
      </c>
      <c r="B45" s="2">
        <f t="shared" si="0"/>
        <v>5.8</v>
      </c>
      <c r="C45" s="1">
        <v>3.7</v>
      </c>
      <c r="D45" s="1">
        <f t="shared" si="1"/>
        <v>1.4230769230769231</v>
      </c>
    </row>
    <row r="46" spans="1:12" x14ac:dyDescent="0.3">
      <c r="A46" s="1" t="s">
        <v>32</v>
      </c>
      <c r="B46" s="2">
        <f t="shared" si="0"/>
        <v>3.9999999999999996</v>
      </c>
      <c r="C46" s="1">
        <v>2.6</v>
      </c>
      <c r="D46" s="1">
        <f t="shared" si="1"/>
        <v>1</v>
      </c>
    </row>
    <row r="47" spans="1:12" x14ac:dyDescent="0.3">
      <c r="A47" s="1" t="s">
        <v>48</v>
      </c>
      <c r="B47" s="2">
        <f t="shared" si="0"/>
        <v>6</v>
      </c>
      <c r="C47" s="1">
        <v>5.0999999999999996</v>
      </c>
      <c r="D47" s="1">
        <f t="shared" si="1"/>
        <v>1.9615384615384612</v>
      </c>
    </row>
    <row r="48" spans="1:12" x14ac:dyDescent="0.3">
      <c r="A48" s="1" t="s">
        <v>33</v>
      </c>
      <c r="B48" s="2">
        <f t="shared" si="0"/>
        <v>5.4</v>
      </c>
      <c r="C48" s="1">
        <v>3.5</v>
      </c>
      <c r="D48" s="1">
        <f t="shared" si="1"/>
        <v>1.346153846153846</v>
      </c>
    </row>
    <row r="49" spans="1:4" x14ac:dyDescent="0.3">
      <c r="A49" s="1" t="s">
        <v>59</v>
      </c>
      <c r="B49" s="2">
        <f t="shared" si="0"/>
        <v>4.4000000000000004</v>
      </c>
      <c r="C49" s="1">
        <v>2.8</v>
      </c>
      <c r="D49" s="1">
        <f t="shared" si="1"/>
        <v>1.0769230769230769</v>
      </c>
    </row>
    <row r="50" spans="1:4" x14ac:dyDescent="0.3">
      <c r="A50" s="1" t="s">
        <v>34</v>
      </c>
      <c r="B50" s="2">
        <f t="shared" si="0"/>
        <v>5.2</v>
      </c>
      <c r="C50" s="1">
        <v>3.3</v>
      </c>
      <c r="D50" s="1">
        <f t="shared" si="1"/>
        <v>1.2692307692307692</v>
      </c>
    </row>
    <row r="51" spans="1:4" x14ac:dyDescent="0.3">
      <c r="A51" s="1" t="s">
        <v>35</v>
      </c>
      <c r="B51" s="2">
        <f t="shared" si="0"/>
        <v>5.6</v>
      </c>
      <c r="C51" s="1">
        <v>3.6</v>
      </c>
      <c r="D51" s="1">
        <f t="shared" si="1"/>
        <v>1.3846153846153846</v>
      </c>
    </row>
    <row r="52" spans="1:4" x14ac:dyDescent="0.3">
      <c r="A52" s="1" t="s">
        <v>36</v>
      </c>
      <c r="B52" s="2">
        <f t="shared" si="0"/>
        <v>5.1000000000000005</v>
      </c>
      <c r="C52" s="1">
        <v>3.2</v>
      </c>
      <c r="D52" s="1">
        <f t="shared" si="1"/>
        <v>1.2307692307692308</v>
      </c>
    </row>
    <row r="53" spans="1:4" x14ac:dyDescent="0.3">
      <c r="A53" s="1" t="s">
        <v>49</v>
      </c>
      <c r="B53" s="2">
        <f t="shared" si="0"/>
        <v>5.8</v>
      </c>
      <c r="C53" s="1">
        <v>3.7</v>
      </c>
      <c r="D53" s="1">
        <f t="shared" si="1"/>
        <v>1.4230769230769231</v>
      </c>
    </row>
    <row r="54" spans="1:4" x14ac:dyDescent="0.3">
      <c r="A54" s="1" t="s">
        <v>37</v>
      </c>
      <c r="B54" s="2">
        <f t="shared" si="0"/>
        <v>3.9999999999999996</v>
      </c>
      <c r="C54" s="1">
        <v>2.6</v>
      </c>
      <c r="D54" s="1">
        <f t="shared" si="1"/>
        <v>1</v>
      </c>
    </row>
  </sheetData>
  <sheetProtection algorithmName="SHA-512" hashValue="1fH9o/Xxuy+Etg43wrAUKbwu2osYRGWCfwRZhqBlqrVnH4N1ubmN//2//ebVBBXRGZBImTbCWrQCUYDgO8h4rA==" saltValue="bjstcDwV9wvBkiEu/Tdfiw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854E1-E94E-46A1-9D8A-7203F0C0A4D2}">
  <sheetPr codeName="Sheet3">
    <tabColor theme="0" tint="-0.249977111117893"/>
  </sheetPr>
  <dimension ref="A1:G62"/>
  <sheetViews>
    <sheetView workbookViewId="0">
      <selection activeCell="N8" sqref="N8"/>
    </sheetView>
  </sheetViews>
  <sheetFormatPr defaultRowHeight="14.4" x14ac:dyDescent="0.3"/>
  <cols>
    <col min="1" max="1" width="13" bestFit="1" customWidth="1"/>
    <col min="2" max="2" width="17.21875" bestFit="1" customWidth="1"/>
  </cols>
  <sheetData>
    <row r="1" spans="1:7" x14ac:dyDescent="0.3">
      <c r="A1" s="4" t="s">
        <v>53</v>
      </c>
      <c r="B1" s="4" t="s">
        <v>54</v>
      </c>
      <c r="F1" s="3"/>
      <c r="G1" s="3"/>
    </row>
    <row r="2" spans="1:7" x14ac:dyDescent="0.3">
      <c r="A2">
        <v>20</v>
      </c>
      <c r="B2" s="12">
        <v>1</v>
      </c>
      <c r="F2" s="3"/>
      <c r="G2" s="3"/>
    </row>
    <row r="3" spans="1:7" x14ac:dyDescent="0.3">
      <c r="A3" s="6" t="s">
        <v>18</v>
      </c>
      <c r="B3" s="6" t="s">
        <v>19</v>
      </c>
      <c r="F3" s="3"/>
      <c r="G3" s="3"/>
    </row>
    <row r="4" spans="1:7" x14ac:dyDescent="0.3">
      <c r="A4" s="5">
        <v>0.86</v>
      </c>
      <c r="B4" s="5">
        <v>0</v>
      </c>
      <c r="F4" s="3"/>
      <c r="G4" s="3"/>
    </row>
    <row r="5" spans="1:7" x14ac:dyDescent="0.3">
      <c r="A5" s="5">
        <v>1</v>
      </c>
      <c r="B5" s="5">
        <v>0.6</v>
      </c>
      <c r="F5" s="3"/>
      <c r="G5" s="3"/>
    </row>
    <row r="6" spans="1:7" x14ac:dyDescent="0.3">
      <c r="A6" s="5">
        <v>1.1000000000000001</v>
      </c>
      <c r="B6" s="5">
        <v>1</v>
      </c>
      <c r="F6" s="3"/>
      <c r="G6" s="3"/>
    </row>
    <row r="7" spans="1:7" x14ac:dyDescent="0.3">
      <c r="A7" s="5">
        <v>1.2</v>
      </c>
      <c r="B7" s="5">
        <v>1.4</v>
      </c>
      <c r="F7" s="3"/>
      <c r="G7" s="3"/>
    </row>
    <row r="8" spans="1:7" x14ac:dyDescent="0.3">
      <c r="A8" s="5">
        <v>1.3</v>
      </c>
      <c r="B8" s="5">
        <v>1.8</v>
      </c>
      <c r="F8" s="3"/>
      <c r="G8" s="3"/>
    </row>
    <row r="9" spans="1:7" x14ac:dyDescent="0.3">
      <c r="A9" s="5">
        <v>1.4</v>
      </c>
      <c r="B9" s="5">
        <v>2.2000000000000002</v>
      </c>
    </row>
    <row r="10" spans="1:7" x14ac:dyDescent="0.3">
      <c r="A10" s="8">
        <v>1.5</v>
      </c>
      <c r="B10" s="5">
        <v>2.6</v>
      </c>
    </row>
    <row r="11" spans="1:7" x14ac:dyDescent="0.3">
      <c r="A11" s="5">
        <v>1.6</v>
      </c>
      <c r="B11" s="5">
        <v>3</v>
      </c>
    </row>
    <row r="12" spans="1:7" x14ac:dyDescent="0.3">
      <c r="A12" s="5">
        <v>1.7</v>
      </c>
      <c r="B12" s="5">
        <v>3.4</v>
      </c>
    </row>
    <row r="13" spans="1:7" x14ac:dyDescent="0.3">
      <c r="A13" s="5">
        <v>1.8</v>
      </c>
      <c r="B13" s="5">
        <v>3.8</v>
      </c>
    </row>
    <row r="14" spans="1:7" x14ac:dyDescent="0.3">
      <c r="A14" s="5">
        <v>1.9</v>
      </c>
      <c r="B14" s="5">
        <v>4.2</v>
      </c>
    </row>
    <row r="15" spans="1:7" x14ac:dyDescent="0.3">
      <c r="A15" s="5">
        <v>2</v>
      </c>
      <c r="B15" s="5">
        <v>4.5999999999999996</v>
      </c>
    </row>
    <row r="16" spans="1:7" x14ac:dyDescent="0.3">
      <c r="A16" s="5">
        <v>2.1</v>
      </c>
      <c r="B16" s="5">
        <v>5</v>
      </c>
    </row>
    <row r="17" spans="1:2" x14ac:dyDescent="0.3">
      <c r="A17" s="5">
        <v>2.2000000000000002</v>
      </c>
      <c r="B17" s="5">
        <v>5.4</v>
      </c>
    </row>
    <row r="18" spans="1:2" x14ac:dyDescent="0.3">
      <c r="A18" s="5">
        <v>2.2999999999999998</v>
      </c>
      <c r="B18" s="5">
        <v>5.8</v>
      </c>
    </row>
    <row r="19" spans="1:2" x14ac:dyDescent="0.3">
      <c r="A19" s="5">
        <v>2.4</v>
      </c>
      <c r="B19" s="5">
        <v>6.2</v>
      </c>
    </row>
    <row r="20" spans="1:2" x14ac:dyDescent="0.3">
      <c r="A20" s="5">
        <v>2.5</v>
      </c>
      <c r="B20" s="5">
        <v>6.6</v>
      </c>
    </row>
    <row r="22" spans="1:2" x14ac:dyDescent="0.3">
      <c r="A22" s="4" t="s">
        <v>53</v>
      </c>
      <c r="B22" s="4" t="s">
        <v>54</v>
      </c>
    </row>
    <row r="23" spans="1:2" x14ac:dyDescent="0.3">
      <c r="A23">
        <v>19</v>
      </c>
      <c r="B23" s="12">
        <v>1</v>
      </c>
    </row>
    <row r="24" spans="1:2" x14ac:dyDescent="0.3">
      <c r="A24" s="6" t="s">
        <v>18</v>
      </c>
      <c r="B24" s="6" t="s">
        <v>19</v>
      </c>
    </row>
    <row r="25" spans="1:2" x14ac:dyDescent="0.3">
      <c r="A25" s="5">
        <v>0.89</v>
      </c>
      <c r="B25" s="5">
        <v>0</v>
      </c>
    </row>
    <row r="26" spans="1:2" x14ac:dyDescent="0.3">
      <c r="A26" s="5">
        <v>1</v>
      </c>
      <c r="B26" s="5">
        <v>0.5</v>
      </c>
    </row>
    <row r="27" spans="1:2" x14ac:dyDescent="0.3">
      <c r="A27" s="5">
        <v>1.1000000000000001</v>
      </c>
      <c r="B27" s="5">
        <v>0.9</v>
      </c>
    </row>
    <row r="28" spans="1:2" x14ac:dyDescent="0.3">
      <c r="A28" s="5">
        <v>1.2</v>
      </c>
      <c r="B28" s="5">
        <v>1.3</v>
      </c>
    </row>
    <row r="29" spans="1:2" x14ac:dyDescent="0.3">
      <c r="A29" s="5">
        <v>1.3</v>
      </c>
      <c r="B29" s="5">
        <v>1.7</v>
      </c>
    </row>
    <row r="30" spans="1:2" x14ac:dyDescent="0.3">
      <c r="A30" s="5">
        <v>1.4</v>
      </c>
      <c r="B30" s="5">
        <v>2.1</v>
      </c>
    </row>
    <row r="31" spans="1:2" x14ac:dyDescent="0.3">
      <c r="A31" s="8">
        <v>1.5</v>
      </c>
      <c r="B31" s="5">
        <v>2.5</v>
      </c>
    </row>
    <row r="32" spans="1:2" x14ac:dyDescent="0.3">
      <c r="A32" s="5">
        <v>1.6</v>
      </c>
      <c r="B32" s="5">
        <v>2.9</v>
      </c>
    </row>
    <row r="33" spans="1:2" x14ac:dyDescent="0.3">
      <c r="A33" s="5">
        <v>1.7</v>
      </c>
      <c r="B33" s="5">
        <v>3.3</v>
      </c>
    </row>
    <row r="34" spans="1:2" x14ac:dyDescent="0.3">
      <c r="A34" s="5">
        <v>1.8</v>
      </c>
      <c r="B34" s="5">
        <v>3.7</v>
      </c>
    </row>
    <row r="35" spans="1:2" x14ac:dyDescent="0.3">
      <c r="A35" s="5">
        <v>1.9</v>
      </c>
      <c r="B35" s="5">
        <v>4.0999999999999996</v>
      </c>
    </row>
    <row r="36" spans="1:2" x14ac:dyDescent="0.3">
      <c r="A36" s="5">
        <v>2</v>
      </c>
      <c r="B36" s="5">
        <v>4.5</v>
      </c>
    </row>
    <row r="37" spans="1:2" x14ac:dyDescent="0.3">
      <c r="A37" s="5">
        <v>2.1</v>
      </c>
      <c r="B37" s="5">
        <v>4.9000000000000004</v>
      </c>
    </row>
    <row r="38" spans="1:2" x14ac:dyDescent="0.3">
      <c r="A38" s="5">
        <v>2.2000000000000002</v>
      </c>
      <c r="B38" s="5">
        <v>5.3</v>
      </c>
    </row>
    <row r="39" spans="1:2" x14ac:dyDescent="0.3">
      <c r="A39" s="5">
        <v>2.2999999999999998</v>
      </c>
      <c r="B39" s="5">
        <v>5.7</v>
      </c>
    </row>
    <row r="40" spans="1:2" x14ac:dyDescent="0.3">
      <c r="A40" s="5">
        <v>2.4</v>
      </c>
      <c r="B40" s="5">
        <v>6.1</v>
      </c>
    </row>
    <row r="41" spans="1:2" x14ac:dyDescent="0.3">
      <c r="A41" s="5">
        <v>2.5</v>
      </c>
      <c r="B41" s="5">
        <v>6.5</v>
      </c>
    </row>
    <row r="43" spans="1:2" x14ac:dyDescent="0.3">
      <c r="A43" s="4" t="s">
        <v>53</v>
      </c>
      <c r="B43" s="4" t="s">
        <v>54</v>
      </c>
    </row>
    <row r="44" spans="1:2" x14ac:dyDescent="0.3">
      <c r="A44">
        <v>18</v>
      </c>
      <c r="B44" s="12">
        <v>1</v>
      </c>
    </row>
    <row r="45" spans="1:2" x14ac:dyDescent="0.3">
      <c r="A45" s="6" t="s">
        <v>18</v>
      </c>
      <c r="B45" s="6" t="s">
        <v>19</v>
      </c>
    </row>
    <row r="46" spans="1:2" x14ac:dyDescent="0.3">
      <c r="A46" s="5">
        <v>0.92</v>
      </c>
      <c r="B46" s="5">
        <v>0</v>
      </c>
    </row>
    <row r="47" spans="1:2" x14ac:dyDescent="0.3">
      <c r="A47" s="5">
        <v>1</v>
      </c>
      <c r="B47" s="5">
        <v>0.3</v>
      </c>
    </row>
    <row r="48" spans="1:2" x14ac:dyDescent="0.3">
      <c r="A48" s="5">
        <v>1.1000000000000001</v>
      </c>
      <c r="B48" s="5">
        <v>0.7</v>
      </c>
    </row>
    <row r="49" spans="1:2" x14ac:dyDescent="0.3">
      <c r="A49" s="5">
        <v>1.2</v>
      </c>
      <c r="B49" s="5">
        <v>1.1000000000000001</v>
      </c>
    </row>
    <row r="50" spans="1:2" x14ac:dyDescent="0.3">
      <c r="A50" s="5">
        <v>1.3</v>
      </c>
      <c r="B50" s="5">
        <v>1.5</v>
      </c>
    </row>
    <row r="51" spans="1:2" x14ac:dyDescent="0.3">
      <c r="A51" s="5">
        <v>1.4</v>
      </c>
      <c r="B51" s="5">
        <v>1.9</v>
      </c>
    </row>
    <row r="52" spans="1:2" x14ac:dyDescent="0.3">
      <c r="A52" s="8">
        <v>1.5</v>
      </c>
      <c r="B52" s="5">
        <v>2.2999999999999998</v>
      </c>
    </row>
    <row r="53" spans="1:2" x14ac:dyDescent="0.3">
      <c r="A53" s="5">
        <v>1.6</v>
      </c>
      <c r="B53" s="5">
        <v>2.7</v>
      </c>
    </row>
    <row r="54" spans="1:2" x14ac:dyDescent="0.3">
      <c r="A54" s="5">
        <v>1.7</v>
      </c>
      <c r="B54" s="5">
        <v>3.1</v>
      </c>
    </row>
    <row r="55" spans="1:2" x14ac:dyDescent="0.3">
      <c r="A55" s="5">
        <v>1.8</v>
      </c>
      <c r="B55" s="5">
        <v>3.5</v>
      </c>
    </row>
    <row r="56" spans="1:2" x14ac:dyDescent="0.3">
      <c r="A56" s="5">
        <v>1.9</v>
      </c>
      <c r="B56" s="5">
        <v>3.9</v>
      </c>
    </row>
    <row r="57" spans="1:2" x14ac:dyDescent="0.3">
      <c r="A57" s="5">
        <v>2</v>
      </c>
      <c r="B57" s="5">
        <v>4.3</v>
      </c>
    </row>
    <row r="58" spans="1:2" x14ac:dyDescent="0.3">
      <c r="A58" s="5">
        <v>2.1</v>
      </c>
      <c r="B58" s="5">
        <v>4.7</v>
      </c>
    </row>
    <row r="59" spans="1:2" x14ac:dyDescent="0.3">
      <c r="A59" s="5">
        <v>2.2000000000000002</v>
      </c>
      <c r="B59" s="5">
        <v>5.0999999999999996</v>
      </c>
    </row>
    <row r="60" spans="1:2" x14ac:dyDescent="0.3">
      <c r="A60" s="5">
        <v>2.2999999999999998</v>
      </c>
      <c r="B60" s="5">
        <v>5.5</v>
      </c>
    </row>
    <row r="61" spans="1:2" x14ac:dyDescent="0.3">
      <c r="A61" s="5">
        <v>2.4</v>
      </c>
      <c r="B61" s="5">
        <v>5.9</v>
      </c>
    </row>
    <row r="62" spans="1:2" x14ac:dyDescent="0.3">
      <c r="A62" s="5">
        <v>2.5</v>
      </c>
      <c r="B62" s="5">
        <v>6.3</v>
      </c>
    </row>
  </sheetData>
  <sheetProtection algorithmName="SHA-512" hashValue="/yRl5XLud9IWpmHQs4YL1kIux+JYQpb9DEmzN1a+s+DdTqhQaYn/25w/kD9pVAXU4TVmlPCpNSwLWH7PWwxnxw==" saltValue="cY4K3bBoEAMY6WENo8RBK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interface</vt:lpstr>
      <vt:lpstr>Sugar types</vt:lpstr>
      <vt:lpstr>Formulas priming sugar addition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Kloes</dc:creator>
  <cp:lastModifiedBy>Wesley Kloes</cp:lastModifiedBy>
  <dcterms:created xsi:type="dcterms:W3CDTF">2015-06-05T18:17:20Z</dcterms:created>
  <dcterms:modified xsi:type="dcterms:W3CDTF">2021-10-24T23:35:54Z</dcterms:modified>
</cp:coreProperties>
</file>